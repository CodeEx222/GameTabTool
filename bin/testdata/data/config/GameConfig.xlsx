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<sst xmlns="http://schemas.openxmlformats.org/spreadsheetml/2006/main" count="421" uniqueCount="272">
  <si>
    <t>字段名</t>
  </si>
  <si>
    <t>字段类型</t>
  </si>
  <si>
    <t>标识名</t>
  </si>
  <si>
    <t>值</t>
  </si>
  <si>
    <t>数组切割</t>
  </si>
  <si>
    <t>DefaultHero</t>
  </si>
  <si>
    <t>ItemInfo</t>
  </si>
  <si>
    <t>默认英雄</t>
  </si>
  <si>
    <t>类型:英雄 ID:100002 数量:1;类型:英雄 ID:200002 数量:10;类型:英雄 ID:300002 数量:1;类型:英雄 ID:400002 数量:1;类型:英雄 ID:500002 数量:1;类型:英雄 ID:600002 数量:1;类型:英雄 ID:140002 数量:1;类型:英雄 ID:150002 数量:1;类型:英雄 ID:160002 数量:1;类型:英雄 ID:170002 数量:1;类型:英雄 ID:180002 数量:1;类型:英雄 ID:190002 数量:1;类型:英雄 ID:210002 数量:1;类型:英雄 ID:220002 数量:1</t>
  </si>
  <si>
    <t>;</t>
  </si>
  <si>
    <t>Defaultitem</t>
  </si>
  <si>
    <t>默认道具</t>
  </si>
  <si>
    <t>类型:物品 ID:660002 数量:50;类型:白色装备 ID:100001 数量:1</t>
  </si>
  <si>
    <t>SynthesizeHeroNeedNum</t>
  </si>
  <si>
    <t>int32</t>
  </si>
  <si>
    <t>合成下一星级需要的英雄数量</t>
  </si>
  <si>
    <t>GamTime</t>
  </si>
  <si>
    <t xml:space="preserve">int32 </t>
  </si>
  <si>
    <t>游戏时间(秒)</t>
  </si>
  <si>
    <t>ChestMoney</t>
  </si>
  <si>
    <t>开宝箱金钱数</t>
  </si>
  <si>
    <t>0;3;5;10;15;20;25;30;40;50;60</t>
  </si>
  <si>
    <t>ChestResetTime</t>
  </si>
  <si>
    <t>宝箱刷新时间(秒)</t>
  </si>
  <si>
    <t>ChestLevel</t>
  </si>
  <si>
    <t>宝箱升级时间(秒)</t>
  </si>
  <si>
    <t>75;150</t>
  </si>
  <si>
    <t>ChestSpecialList</t>
  </si>
  <si>
    <t>特殊宝箱概率(必须3个阶段)</t>
  </si>
  <si>
    <t>10;20;30</t>
  </si>
  <si>
    <t>ChestRate1</t>
  </si>
  <si>
    <t>宝箱品质概率</t>
  </si>
  <si>
    <t>60;40;0</t>
  </si>
  <si>
    <t>ChestHeroRate1</t>
  </si>
  <si>
    <t>英雄概率</t>
  </si>
  <si>
    <t>40;50;10</t>
  </si>
  <si>
    <t>ChestRate2</t>
  </si>
  <si>
    <t>宝箱品质</t>
  </si>
  <si>
    <t>30;60;10</t>
  </si>
  <si>
    <t>ChestHeroRate2</t>
  </si>
  <si>
    <t>ChestRate3</t>
  </si>
  <si>
    <t>10;50;40</t>
  </si>
  <si>
    <t>ChestHeroRate3</t>
  </si>
  <si>
    <t>GetHeroBoxPercentage</t>
  </si>
  <si>
    <t>HeroBoxPercentage</t>
  </si>
  <si>
    <t>结算获取宝箱概率</t>
  </si>
  <si>
    <t>宝箱ID:50001 概率:40;宝箱ID:50002 概率:40;宝箱ID:50003 概率:20</t>
  </si>
  <si>
    <t>GameRankJewelsRewardOne</t>
  </si>
  <si>
    <t>结算游戏名次对应宝石奖励（单人）</t>
  </si>
  <si>
    <t>220;180;90;60;40;0;</t>
  </si>
  <si>
    <t>GameRankJewelsRewardTwo</t>
  </si>
  <si>
    <t>结算游戏名次对应宝石奖励（双人）</t>
  </si>
  <si>
    <t>220;90;0;</t>
  </si>
  <si>
    <t>GameRankJewelsRewardThree</t>
  </si>
  <si>
    <t>结算游戏名次对应宝石奖励（三人）</t>
  </si>
  <si>
    <t>220;0;</t>
  </si>
  <si>
    <t>GameRankOpenBoxTimesOne</t>
  </si>
  <si>
    <t>结算游戏名次对应开宝箱次数（单人）</t>
  </si>
  <si>
    <t>5;4;3;2;1;1;</t>
  </si>
  <si>
    <t>GameRankOpenBoxTimesTwo</t>
  </si>
  <si>
    <t>结算游戏名次对应开宝箱次数（双人）</t>
  </si>
  <si>
    <t>5;3;2;</t>
  </si>
  <si>
    <t>GameRankOpenBoxTimesThree</t>
  </si>
  <si>
    <t>结算游戏名次对应开宝箱次数（三人）</t>
  </si>
  <si>
    <t>5;2;</t>
  </si>
  <si>
    <t>WinningStreakOpenBoxTimes</t>
  </si>
  <si>
    <t>结算连胜增加开宝箱次数(0次胜利;1次胜利;...)</t>
  </si>
  <si>
    <t>0;0;1;2;2;2;3;3;3;3;3;4;4;4;4;5</t>
  </si>
  <si>
    <t>CollectableItemExistTime</t>
  </si>
  <si>
    <t>掉落物存在时间(毫秒)</t>
  </si>
  <si>
    <t>CollectableItemAnimTime</t>
  </si>
  <si>
    <t>掉落物动画时间(毫秒)</t>
  </si>
  <si>
    <t>CollectableItemPickTime</t>
  </si>
  <si>
    <t>掉落物多长时间后可以被拾取时间(毫秒)</t>
  </si>
  <si>
    <t>CollectableItemPickSpeed</t>
  </si>
  <si>
    <t>掉落物拾取移动速度(每秒移动多少距离)</t>
  </si>
  <si>
    <t>CollectableItemPickRange</t>
  </si>
  <si>
    <t>掉落物拾取距离</t>
  </si>
  <si>
    <t>BigChestGenTime</t>
  </si>
  <si>
    <t>大宝箱生成勾玉时间(秒)</t>
  </si>
  <si>
    <t>30;120;180;210;220</t>
  </si>
  <si>
    <t>BigChestGenGemStoneNum</t>
  </si>
  <si>
    <t>大宝箱生成勾玉数量</t>
  </si>
  <si>
    <t>30;40;45;50;60</t>
  </si>
  <si>
    <t>PoisonousBuff</t>
  </si>
  <si>
    <t>毒圈BUFFID</t>
  </si>
  <si>
    <t>PlayerDefaultEnergy</t>
  </si>
  <si>
    <t>玩家单圈能量值</t>
  </si>
  <si>
    <t>PlayerBeginEnergy</t>
  </si>
  <si>
    <t>玩家初始能量值</t>
  </si>
  <si>
    <t>PlayerMaxEnergy</t>
  </si>
  <si>
    <t>能量上限</t>
  </si>
  <si>
    <t>EnergyRecoveryRate</t>
  </si>
  <si>
    <t>float</t>
  </si>
  <si>
    <t>能量恢复速率</t>
  </si>
  <si>
    <t>DefaultMoveSpeed</t>
  </si>
  <si>
    <t>默认移动速度</t>
  </si>
  <si>
    <t>DeadMoveSpeed</t>
  </si>
  <si>
    <t>死亡时移动速度</t>
  </si>
  <si>
    <t>DefaultHeroScale</t>
  </si>
  <si>
    <t>默认英雄缩放比例</t>
  </si>
  <si>
    <t>AdvanceHeroScale</t>
  </si>
  <si>
    <t>二级英雄缩放比例</t>
  </si>
  <si>
    <t>StarHeroScale</t>
  </si>
  <si>
    <t>合成英雄缩放比例</t>
  </si>
  <si>
    <t>SuperHeroScale</t>
  </si>
  <si>
    <t>超级英雄缩放比例</t>
  </si>
  <si>
    <t>PlayerFightRange</t>
  </si>
  <si>
    <t>玩家索敌范围</t>
  </si>
  <si>
    <t>LittleFightRange</t>
  </si>
  <si>
    <t>移动小圈范围</t>
  </si>
  <si>
    <t>PlayerHeroDeadDrop1</t>
  </si>
  <si>
    <t>玩家1星英雄死亡掉落(千分比)</t>
  </si>
  <si>
    <t>PlayerHeroDeadDrop2</t>
  </si>
  <si>
    <t>玩家2星英雄死亡掉落(千分比)</t>
  </si>
  <si>
    <t>PlayerHeroDeadDrop3</t>
  </si>
  <si>
    <t>玩家3星英雄死亡掉落(千分比)</t>
  </si>
  <si>
    <t>PlayerAllDeadDrop</t>
  </si>
  <si>
    <t>玩家死亡掉落(千分比)</t>
  </si>
  <si>
    <t>300;400</t>
  </si>
  <si>
    <t>PlayerSpeedUpSkillID</t>
  </si>
  <si>
    <t>玩家加速技能ID</t>
  </si>
  <si>
    <t>SpeedDownBuffID</t>
  </si>
  <si>
    <t>受击减速BuffID</t>
  </si>
  <si>
    <t>TreeAddHP</t>
  </si>
  <si>
    <t>树回血技能ID</t>
  </si>
  <si>
    <t>ItemAddMoveSpeed</t>
  </si>
  <si>
    <t>加速道具技能ID</t>
  </si>
  <si>
    <t>ItemAddAttack</t>
  </si>
  <si>
    <t>狂暴道具技能ID</t>
  </si>
  <si>
    <t>Invincible</t>
  </si>
  <si>
    <t>霸体技能ID</t>
  </si>
  <si>
    <t>ImmobilizeSkillID</t>
  </si>
  <si>
    <t>定身技能ID</t>
  </si>
  <si>
    <t>CommonSkills</t>
  </si>
  <si>
    <t>通用技能数组</t>
  </si>
  <si>
    <t>810040;820005</t>
  </si>
  <si>
    <t>MinMoveSpeedUp</t>
  </si>
  <si>
    <t>移动速度百分比下限</t>
  </si>
  <si>
    <t>ShowFightTip</t>
  </si>
  <si>
    <t>显示玩家tip距离</t>
  </si>
  <si>
    <t>EventSpeedStartTime</t>
  </si>
  <si>
    <t>疾速狂潮开始刷新时间(秒)</t>
  </si>
  <si>
    <t>EventSpeedDelayTime</t>
  </si>
  <si>
    <t>疾速狂潮开始刷新间隔时间(秒)</t>
  </si>
  <si>
    <t>EventSpeedExistTime</t>
  </si>
  <si>
    <t>疾速狂潮存在时间(秒)</t>
  </si>
  <si>
    <t>EventSkillStartTime</t>
  </si>
  <si>
    <t>法术狂潮开始刷新时间(秒)</t>
  </si>
  <si>
    <t>EventSkillDelayTime</t>
  </si>
  <si>
    <t>法术狂潮开始刷新间隔时间(秒)</t>
  </si>
  <si>
    <t>EventSkillExistTime</t>
  </si>
  <si>
    <t>法术狂潮存在时间(秒)</t>
  </si>
  <si>
    <t>EventSpeedDrop</t>
  </si>
  <si>
    <t>疾速狂潮掉落</t>
  </si>
  <si>
    <t>EventSkillDrop</t>
  </si>
  <si>
    <t>法术狂潮掉落</t>
  </si>
  <si>
    <t>10015;10016;10017</t>
  </si>
  <si>
    <t>HeroUpAddExp</t>
  </si>
  <si>
    <t>英雄升星添加经验</t>
  </si>
  <si>
    <t>10;20;40;70</t>
  </si>
  <si>
    <t>EscapeBaseReward</t>
  </si>
  <si>
    <t>逃离模式保底奖励</t>
  </si>
  <si>
    <t>类型:物品 ID:660001 数量:10;类型:物品 ID:660002 数量:10;</t>
  </si>
  <si>
    <t>EscapeConvertAward</t>
  </si>
  <si>
    <t>逃离模式积分兑换的奖励</t>
  </si>
  <si>
    <t>类型:物品 ID:660001 数量:1;类型:物品 ID:660002 数量:1;</t>
  </si>
  <si>
    <t>EscapeConvertNum</t>
  </si>
  <si>
    <t>逃离模式多少积分可以兑换一次奖励</t>
  </si>
  <si>
    <t>ReviveTime</t>
  </si>
  <si>
    <t>复活时间</t>
  </si>
  <si>
    <t>EscapeMaxSkillCount</t>
  </si>
  <si>
    <t>逃离模式最大技能数量</t>
  </si>
  <si>
    <t>EscapeBuySkillCost</t>
  </si>
  <si>
    <t>逃离模式技能花费</t>
  </si>
  <si>
    <t>EscapeBuyResourceCost</t>
  </si>
  <si>
    <t>逃离模式资源花费</t>
  </si>
  <si>
    <t>DyingStatePercentage</t>
  </si>
  <si>
    <t>濒死状态百分比</t>
  </si>
  <si>
    <t>WeekTaskADayTaskNum</t>
  </si>
  <si>
    <t>周常任务每天任务数量</t>
  </si>
  <si>
    <t>WeekTaskResetMailTitle</t>
  </si>
  <si>
    <t>string</t>
  </si>
  <si>
    <t>周常任务自动领取奖励标题</t>
  </si>
  <si>
    <t>周任务重置未领取奖励发放</t>
  </si>
  <si>
    <t>WeekTaskResetMailContent</t>
  </si>
  <si>
    <t>周常任务自动领取奖励内容</t>
  </si>
  <si>
    <t>您已完成未领取的任务奖励现在通过附件发送给您！</t>
  </si>
  <si>
    <t>ActivityResetTime</t>
  </si>
  <si>
    <t>活动刷新时间（小时，包括日常任务和七日签到）</t>
  </si>
  <si>
    <t>EquipMergeCostNum</t>
  </si>
  <si>
    <t>装备合成需要基础装备数量</t>
  </si>
  <si>
    <t>UpStoneMergeCostNum</t>
  </si>
  <si>
    <t>进阶石合成需要基础进阶石数量</t>
  </si>
  <si>
    <t>EquipLevelAddBaseAttr</t>
  </si>
  <si>
    <t>装备等级每级增加基础属性点数(白;蓝;紫;金;幻;)</t>
  </si>
  <si>
    <t>10;12;15;18;20;</t>
  </si>
  <si>
    <t>RecycleEquipPercent</t>
  </si>
  <si>
    <t>装备回收返还材料百分比(蓝;紫;金;)</t>
  </si>
  <si>
    <t>50;40;30;</t>
  </si>
  <si>
    <t>CharmItemId</t>
  </si>
  <si>
    <t>共鸣石物品ID</t>
  </si>
  <si>
    <t>RefreshCharmCostNum</t>
  </si>
  <si>
    <t>刷新共鸣需要消耗的共鸣石数量(紫;金;红;幻;)</t>
  </si>
  <si>
    <t>1;3;5;7;</t>
  </si>
  <si>
    <t>RefreshCharmMinQuality</t>
  </si>
  <si>
    <t>GameItemQuality</t>
  </si>
  <si>
    <t>刷新共鸣需要的最低品质</t>
  </si>
  <si>
    <t>紫</t>
  </si>
  <si>
    <t>SynthesizeEquipMaxQuality</t>
  </si>
  <si>
    <t>一键合成最大的品质（不包括）</t>
  </si>
  <si>
    <t>NewPlayerHeroId</t>
  </si>
  <si>
    <t>默认新玩家展示英雄ID</t>
  </si>
  <si>
    <t>ShowPlayerList</t>
  </si>
  <si>
    <t>英雄展示默认顺序</t>
  </si>
  <si>
    <t>200001;100001;300001;400001;500001;600001;140001;150001;160001;170001;180001;190001;210001;220001</t>
  </si>
  <si>
    <t>BattlePassNormalAward</t>
  </si>
  <si>
    <t>普通战令奖励</t>
  </si>
  <si>
    <t>类型:英雄 ID:190002 数量:100;类型:紫色装备 ID:100008 数量:1;类型:紫色装备 ID:200008 数量:1;类型:紫色装备 ID:300008 数量:1;类型:紫色装备 ID:400008 数量:1;</t>
  </si>
  <si>
    <t>BattlePassHighAward</t>
  </si>
  <si>
    <t>高级战令奖励</t>
  </si>
  <si>
    <t>类型:属性 属性:战令经验 数量:2000;类型:物品 ID:660140 数量:8</t>
  </si>
  <si>
    <t>BattlePassResetMailTitle</t>
  </si>
  <si>
    <t>战令自动领取奖励标题</t>
  </si>
  <si>
    <t>战令重置未领取奖励发放</t>
  </si>
  <si>
    <t>BattlePassResetMailContent</t>
  </si>
  <si>
    <t>战令自动领取奖励内容</t>
  </si>
  <si>
    <t>您已完成未领取的战令奖励现在通过附件发送给您！</t>
  </si>
  <si>
    <t>HeroQualityRatio</t>
  </si>
  <si>
    <t>战力计算英雄品质系数</t>
  </si>
  <si>
    <t>120;150;200;250;</t>
  </si>
  <si>
    <t>HeroStarRatio</t>
  </si>
  <si>
    <t>战力计算英雄星级系数</t>
  </si>
  <si>
    <t>120;140;160;180;200;</t>
  </si>
  <si>
    <t>EquipCharmRatio</t>
  </si>
  <si>
    <t>战力计算装备共鸣系数</t>
  </si>
  <si>
    <t>100;110;120</t>
  </si>
  <si>
    <t>HeroHpRatio</t>
  </si>
  <si>
    <t>英雄血量系数</t>
  </si>
  <si>
    <t>RankScoreWinBasicScore</t>
  </si>
  <si>
    <t>段位积分胜利基础分</t>
  </si>
  <si>
    <t>25;25;25;25;25;25;20;20;20;18;18;18;15;15;15;12;</t>
  </si>
  <si>
    <t>RankScoreDefeatsBasicScore</t>
  </si>
  <si>
    <t>段位积分失败基础分</t>
  </si>
  <si>
    <t>-15;-15;-15;-15;-15;-15;-18;-18;-18;-20;-20;-20;-22;-22;-22;-25;</t>
  </si>
  <si>
    <t>RankScoreWinSteakRatio</t>
  </si>
  <si>
    <t>段位积分连胜系数</t>
  </si>
  <si>
    <t>100;120;140;160;180;</t>
  </si>
  <si>
    <t>RankScoreRepeatedDefeatsRatio</t>
  </si>
  <si>
    <t>段位积分连败系数</t>
  </si>
  <si>
    <t>100;90;80;70;60;50;</t>
  </si>
  <si>
    <t>RankLevelMinScore</t>
  </si>
  <si>
    <t>段位等级对应最低分数</t>
  </si>
  <si>
    <t>800;1200;1600;2000;2800;3600;4500;6000;7500;9000;11300;13600;16000;20000;24000;28000;</t>
  </si>
  <si>
    <t>RankLevelUpWinTimes</t>
  </si>
  <si>
    <t>段位等级晋级需要胜利次数</t>
  </si>
  <si>
    <t>RankLevelDownDefeatsTimes</t>
  </si>
  <si>
    <t>段位等级降级需要连败次数</t>
  </si>
  <si>
    <t>RankLevelDiffHIghRatio</t>
  </si>
  <si>
    <t>段位差系数（高）</t>
  </si>
  <si>
    <t>100;130;160;</t>
  </si>
  <si>
    <t>RankLevelDiffLowRatio</t>
  </si>
  <si>
    <t>段位差系数（低）</t>
  </si>
  <si>
    <t>100;70;40;</t>
  </si>
  <si>
    <t>SubRankScoreUserNotGameDay</t>
  </si>
  <si>
    <t>玩家几天未对战开始扣段位积分</t>
  </si>
  <si>
    <t>NotGameSubRankScorePercent</t>
  </si>
  <si>
    <t>玩家长时间未对战扣段位积分比例</t>
  </si>
  <si>
    <t>SubRankScoreMinRankLevel</t>
  </si>
  <si>
    <t>玩家扣段位积分最小段位</t>
  </si>
  <si>
    <t>ExchangeShopRefreshNum</t>
  </si>
  <si>
    <t>兑换商店每种类型商品刷新数量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</si>
</sst>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1744743186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"/>
  <sheetViews>
    <sheetView tabSelected="1" topLeftCell="A86" workbookViewId="0">
      <selection activeCell="A109" sqref="A109"/>
    </sheetView>
  </sheetViews>
  <sheetFormatPr defaultColWidth="9" defaultRowHeight="16.5" outlineLevelCol="4"/>
  <cols>
    <col min="1" max="1" width="32.875" style="1" customWidth="1"/>
    <col min="2" max="2" width="21.5" style="1" customWidth="1"/>
    <col min="3" max="3" width="44.5" style="1" customWidth="1"/>
    <col min="4" max="4" width="103.375" style="2" customWidth="1"/>
    <col min="5" max="5" width="17.375" style="1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>
      <c r="A2" s="5" t="s">
        <v>5</v>
      </c>
      <c r="B2" s="5" t="s">
        <v>6</v>
      </c>
      <c r="C2" s="5" t="s">
        <v>7</v>
      </c>
      <c r="D2" s="6" t="s">
        <v>8</v>
      </c>
      <c r="E2" s="5" t="s">
        <v>9</v>
      </c>
    </row>
    <row r="3" spans="1:5">
      <c r="A3" s="5" t="s">
        <v>10</v>
      </c>
      <c r="B3" s="5" t="s">
        <v>6</v>
      </c>
      <c r="C3" s="5" t="s">
        <v>11</v>
      </c>
      <c r="D3" s="6" t="s">
        <v>12</v>
      </c>
      <c r="E3" s="5" t="s">
        <v>9</v>
      </c>
    </row>
    <row r="4" spans="1:5">
      <c r="A4" s="5" t="s">
        <v>13</v>
      </c>
      <c r="B4" s="5" t="s">
        <v>14</v>
      </c>
      <c r="C4" s="5" t="s">
        <v>15</v>
      </c>
      <c r="D4" s="6">
        <v>10</v>
      </c>
      <c r="E4" s="5"/>
    </row>
    <row r="5" spans="1:5">
      <c r="A5" s="5" t="s">
        <v>16</v>
      </c>
      <c r="B5" s="5" t="s">
        <v>17</v>
      </c>
      <c r="C5" s="5" t="s">
        <v>18</v>
      </c>
      <c r="D5" s="6">
        <v>240</v>
      </c>
      <c r="E5" s="5"/>
    </row>
    <row r="6" spans="1:5">
      <c r="A6" s="5" t="s">
        <v>19</v>
      </c>
      <c r="B6" s="5" t="s">
        <v>17</v>
      </c>
      <c r="C6" s="5" t="s">
        <v>20</v>
      </c>
      <c r="D6" s="6" t="s">
        <v>21</v>
      </c>
      <c r="E6" s="5" t="s">
        <v>9</v>
      </c>
    </row>
    <row r="7" spans="1:5">
      <c r="A7" s="5" t="s">
        <v>22</v>
      </c>
      <c r="B7" s="5" t="s">
        <v>14</v>
      </c>
      <c r="C7" s="5" t="s">
        <v>23</v>
      </c>
      <c r="D7" s="6">
        <v>15</v>
      </c>
      <c r="E7" s="5"/>
    </row>
    <row r="8" spans="1:5">
      <c r="A8" s="5" t="s">
        <v>24</v>
      </c>
      <c r="B8" s="5" t="s">
        <v>17</v>
      </c>
      <c r="C8" s="5" t="s">
        <v>25</v>
      </c>
      <c r="D8" s="6" t="s">
        <v>26</v>
      </c>
      <c r="E8" s="5" t="s">
        <v>9</v>
      </c>
    </row>
    <row r="9" spans="1:5">
      <c r="A9" s="5" t="s">
        <v>27</v>
      </c>
      <c r="B9" s="5" t="s">
        <v>17</v>
      </c>
      <c r="C9" s="5" t="s">
        <v>28</v>
      </c>
      <c r="D9" s="6" t="s">
        <v>29</v>
      </c>
      <c r="E9" s="5" t="s">
        <v>9</v>
      </c>
    </row>
    <row r="10" spans="1:5">
      <c r="A10" s="5" t="s">
        <v>30</v>
      </c>
      <c r="B10" s="5" t="s">
        <v>17</v>
      </c>
      <c r="C10" s="5" t="s">
        <v>31</v>
      </c>
      <c r="D10" s="6" t="s">
        <v>32</v>
      </c>
      <c r="E10" s="5" t="s">
        <v>9</v>
      </c>
    </row>
    <row r="11" spans="1:5">
      <c r="A11" s="5" t="s">
        <v>33</v>
      </c>
      <c r="B11" s="5" t="s">
        <v>17</v>
      </c>
      <c r="C11" s="5" t="s">
        <v>34</v>
      </c>
      <c r="D11" s="6" t="s">
        <v>35</v>
      </c>
      <c r="E11" s="5" t="s">
        <v>9</v>
      </c>
    </row>
    <row r="12" spans="1:5">
      <c r="A12" s="5" t="s">
        <v>36</v>
      </c>
      <c r="B12" s="5" t="s">
        <v>17</v>
      </c>
      <c r="C12" s="5" t="s">
        <v>37</v>
      </c>
      <c r="D12" s="6" t="s">
        <v>38</v>
      </c>
      <c r="E12" s="5" t="s">
        <v>9</v>
      </c>
    </row>
    <row r="13" spans="1:5">
      <c r="A13" s="5" t="s">
        <v>39</v>
      </c>
      <c r="B13" s="5" t="s">
        <v>17</v>
      </c>
      <c r="C13" s="5" t="s">
        <v>34</v>
      </c>
      <c r="D13" s="6" t="s">
        <v>35</v>
      </c>
      <c r="E13" s="5" t="s">
        <v>9</v>
      </c>
    </row>
    <row r="14" spans="1:5">
      <c r="A14" s="5" t="s">
        <v>40</v>
      </c>
      <c r="B14" s="5" t="s">
        <v>17</v>
      </c>
      <c r="C14" s="5" t="s">
        <v>37</v>
      </c>
      <c r="D14" s="6" t="s">
        <v>41</v>
      </c>
      <c r="E14" s="5" t="s">
        <v>9</v>
      </c>
    </row>
    <row r="15" spans="1:5">
      <c r="A15" s="5" t="s">
        <v>42</v>
      </c>
      <c r="B15" s="5" t="s">
        <v>17</v>
      </c>
      <c r="C15" s="5" t="s">
        <v>34</v>
      </c>
      <c r="D15" s="6" t="s">
        <v>35</v>
      </c>
      <c r="E15" s="5" t="s">
        <v>9</v>
      </c>
    </row>
    <row r="16" spans="1:5">
      <c r="A16" s="5" t="s">
        <v>43</v>
      </c>
      <c r="B16" s="5" t="s">
        <v>44</v>
      </c>
      <c r="C16" s="5" t="s">
        <v>45</v>
      </c>
      <c r="D16" s="6" t="s">
        <v>46</v>
      </c>
      <c r="E16" s="1" t="s">
        <v>9</v>
      </c>
    </row>
    <row r="17" spans="1:5">
      <c r="A17" s="5" t="s">
        <v>47</v>
      </c>
      <c r="B17" s="5" t="s">
        <v>14</v>
      </c>
      <c r="C17" s="5" t="s">
        <v>48</v>
      </c>
      <c r="D17" s="6" t="s">
        <v>49</v>
      </c>
      <c r="E17" s="1" t="s">
        <v>9</v>
      </c>
    </row>
    <row r="18" spans="1:5">
      <c r="A18" s="5" t="s">
        <v>50</v>
      </c>
      <c r="B18" s="5" t="s">
        <v>14</v>
      </c>
      <c r="C18" s="5" t="s">
        <v>51</v>
      </c>
      <c r="D18" s="6" t="s">
        <v>52</v>
      </c>
      <c r="E18" s="1" t="s">
        <v>9</v>
      </c>
    </row>
    <row r="19" spans="1:5">
      <c r="A19" s="5" t="s">
        <v>53</v>
      </c>
      <c r="B19" s="5" t="s">
        <v>14</v>
      </c>
      <c r="C19" s="5" t="s">
        <v>54</v>
      </c>
      <c r="D19" s="6" t="s">
        <v>55</v>
      </c>
      <c r="E19" s="1" t="s">
        <v>9</v>
      </c>
    </row>
    <row r="20" spans="1:5">
      <c r="A20" s="5" t="s">
        <v>56</v>
      </c>
      <c r="B20" s="5" t="s">
        <v>14</v>
      </c>
      <c r="C20" s="5" t="s">
        <v>57</v>
      </c>
      <c r="D20" s="6" t="s">
        <v>58</v>
      </c>
      <c r="E20" s="1" t="s">
        <v>9</v>
      </c>
    </row>
    <row r="21" spans="1:5">
      <c r="A21" s="5" t="s">
        <v>59</v>
      </c>
      <c r="B21" s="5" t="s">
        <v>14</v>
      </c>
      <c r="C21" s="5" t="s">
        <v>60</v>
      </c>
      <c r="D21" s="6" t="s">
        <v>61</v>
      </c>
      <c r="E21" s="1" t="s">
        <v>9</v>
      </c>
    </row>
    <row r="22" spans="1:5">
      <c r="A22" s="5" t="s">
        <v>62</v>
      </c>
      <c r="B22" s="5" t="s">
        <v>14</v>
      </c>
      <c r="C22" s="5" t="s">
        <v>63</v>
      </c>
      <c r="D22" s="6" t="s">
        <v>64</v>
      </c>
      <c r="E22" s="1" t="s">
        <v>9</v>
      </c>
    </row>
    <row r="23" spans="1:5">
      <c r="A23" s="5" t="s">
        <v>65</v>
      </c>
      <c r="B23" s="5" t="s">
        <v>14</v>
      </c>
      <c r="C23" s="5" t="s">
        <v>66</v>
      </c>
      <c r="D23" s="6" t="s">
        <v>67</v>
      </c>
      <c r="E23" s="1" t="s">
        <v>9</v>
      </c>
    </row>
    <row r="24" spans="1:4">
      <c r="A24" s="5" t="s">
        <v>68</v>
      </c>
      <c r="B24" s="5" t="s">
        <v>14</v>
      </c>
      <c r="C24" s="5" t="s">
        <v>69</v>
      </c>
      <c r="D24" s="6">
        <v>30000</v>
      </c>
    </row>
    <row r="25" spans="1:4">
      <c r="A25" s="5" t="s">
        <v>70</v>
      </c>
      <c r="B25" s="5" t="s">
        <v>14</v>
      </c>
      <c r="C25" s="1" t="s">
        <v>71</v>
      </c>
      <c r="D25" s="6">
        <v>1000</v>
      </c>
    </row>
    <row r="26" spans="1:4">
      <c r="A26" s="5" t="s">
        <v>72</v>
      </c>
      <c r="B26" s="5" t="s">
        <v>14</v>
      </c>
      <c r="C26" s="1" t="s">
        <v>73</v>
      </c>
      <c r="D26" s="2">
        <v>800</v>
      </c>
    </row>
    <row r="27" spans="1:4">
      <c r="A27" s="1" t="s">
        <v>74</v>
      </c>
      <c r="B27" s="1" t="s">
        <v>14</v>
      </c>
      <c r="C27" s="1" t="s">
        <v>75</v>
      </c>
      <c r="D27" s="2">
        <v>1000</v>
      </c>
    </row>
    <row r="28" spans="1:4">
      <c r="A28" s="1" t="s">
        <v>76</v>
      </c>
      <c r="B28" s="1" t="s">
        <v>14</v>
      </c>
      <c r="C28" s="1" t="s">
        <v>77</v>
      </c>
      <c r="D28" s="2">
        <v>200</v>
      </c>
    </row>
    <row r="29" spans="1:5">
      <c r="A29" s="1" t="s">
        <v>78</v>
      </c>
      <c r="B29" s="1" t="s">
        <v>14</v>
      </c>
      <c r="C29" s="1" t="s">
        <v>79</v>
      </c>
      <c r="D29" s="2" t="s">
        <v>80</v>
      </c>
      <c r="E29" s="1" t="s">
        <v>9</v>
      </c>
    </row>
    <row r="30" spans="1:5">
      <c r="A30" s="1" t="s">
        <v>81</v>
      </c>
      <c r="B30" s="1" t="s">
        <v>14</v>
      </c>
      <c r="C30" s="1" t="s">
        <v>82</v>
      </c>
      <c r="D30" s="2" t="s">
        <v>83</v>
      </c>
      <c r="E30" s="1" t="s">
        <v>9</v>
      </c>
    </row>
    <row r="31" spans="1:4">
      <c r="A31" s="1" t="s">
        <v>84</v>
      </c>
      <c r="B31" s="1" t="s">
        <v>14</v>
      </c>
      <c r="C31" s="1" t="s">
        <v>85</v>
      </c>
      <c r="D31" s="2">
        <v>820004</v>
      </c>
    </row>
    <row r="32" spans="1:4">
      <c r="A32" s="1" t="s">
        <v>86</v>
      </c>
      <c r="B32" s="1" t="s">
        <v>14</v>
      </c>
      <c r="C32" s="1" t="s">
        <v>87</v>
      </c>
      <c r="D32" s="2">
        <v>100</v>
      </c>
    </row>
    <row r="33" spans="1:4">
      <c r="A33" s="1" t="s">
        <v>88</v>
      </c>
      <c r="B33" s="1" t="s">
        <v>14</v>
      </c>
      <c r="C33" s="1" t="s">
        <v>89</v>
      </c>
      <c r="D33" s="2">
        <v>2000</v>
      </c>
    </row>
    <row r="34" spans="1:4">
      <c r="A34" s="1" t="s">
        <v>90</v>
      </c>
      <c r="B34" s="1" t="s">
        <v>14</v>
      </c>
      <c r="C34" s="1" t="s">
        <v>91</v>
      </c>
      <c r="D34" s="2">
        <v>2000</v>
      </c>
    </row>
    <row r="35" spans="1:4">
      <c r="A35" s="1" t="s">
        <v>92</v>
      </c>
      <c r="B35" s="1" t="s">
        <v>93</v>
      </c>
      <c r="C35" s="1" t="s">
        <v>94</v>
      </c>
      <c r="D35" s="2">
        <v>100</v>
      </c>
    </row>
    <row r="36" spans="1:4">
      <c r="A36" s="1" t="s">
        <v>95</v>
      </c>
      <c r="B36" s="1" t="s">
        <v>14</v>
      </c>
      <c r="C36" s="1" t="s">
        <v>96</v>
      </c>
      <c r="D36" s="2">
        <v>16</v>
      </c>
    </row>
    <row r="37" spans="1:4">
      <c r="A37" s="1" t="s">
        <v>97</v>
      </c>
      <c r="B37" s="1" t="s">
        <v>14</v>
      </c>
      <c r="C37" s="1" t="s">
        <v>98</v>
      </c>
      <c r="D37" s="2">
        <v>40</v>
      </c>
    </row>
    <row r="38" spans="1:4">
      <c r="A38" s="1" t="s">
        <v>99</v>
      </c>
      <c r="B38" s="1" t="s">
        <v>93</v>
      </c>
      <c r="C38" s="1" t="s">
        <v>100</v>
      </c>
      <c r="D38" s="2">
        <v>0.65</v>
      </c>
    </row>
    <row r="39" spans="1:4">
      <c r="A39" s="1" t="s">
        <v>101</v>
      </c>
      <c r="B39" s="1" t="s">
        <v>93</v>
      </c>
      <c r="C39" s="1" t="s">
        <v>102</v>
      </c>
      <c r="D39" s="2">
        <v>0.75</v>
      </c>
    </row>
    <row r="40" spans="1:4">
      <c r="A40" s="1" t="s">
        <v>103</v>
      </c>
      <c r="B40" s="1" t="s">
        <v>93</v>
      </c>
      <c r="C40" s="1" t="s">
        <v>104</v>
      </c>
      <c r="D40" s="2">
        <v>0.85</v>
      </c>
    </row>
    <row r="41" spans="1:4">
      <c r="A41" s="1" t="s">
        <v>105</v>
      </c>
      <c r="B41" s="1" t="s">
        <v>93</v>
      </c>
      <c r="C41" s="1" t="s">
        <v>106</v>
      </c>
      <c r="D41" s="2">
        <v>1</v>
      </c>
    </row>
    <row r="42" spans="1:4">
      <c r="A42" s="1" t="s">
        <v>107</v>
      </c>
      <c r="B42" s="1" t="s">
        <v>93</v>
      </c>
      <c r="C42" s="1" t="s">
        <v>108</v>
      </c>
      <c r="D42" s="2">
        <v>350</v>
      </c>
    </row>
    <row r="43" spans="1:4">
      <c r="A43" s="1" t="s">
        <v>109</v>
      </c>
      <c r="B43" s="1" t="s">
        <v>93</v>
      </c>
      <c r="C43" s="1" t="s">
        <v>110</v>
      </c>
      <c r="D43" s="2">
        <v>20</v>
      </c>
    </row>
    <row r="44" spans="1:4">
      <c r="A44" s="1" t="s">
        <v>111</v>
      </c>
      <c r="B44" s="1" t="s">
        <v>14</v>
      </c>
      <c r="C44" s="1" t="s">
        <v>112</v>
      </c>
      <c r="D44" s="2">
        <v>50</v>
      </c>
    </row>
    <row r="45" spans="1:4">
      <c r="A45" s="1" t="s">
        <v>113</v>
      </c>
      <c r="B45" s="1" t="s">
        <v>14</v>
      </c>
      <c r="C45" s="1" t="s">
        <v>114</v>
      </c>
      <c r="D45" s="2">
        <v>100</v>
      </c>
    </row>
    <row r="46" spans="1:4">
      <c r="A46" s="1" t="s">
        <v>115</v>
      </c>
      <c r="B46" s="1" t="s">
        <v>14</v>
      </c>
      <c r="C46" s="1" t="s">
        <v>116</v>
      </c>
      <c r="D46" s="2">
        <v>150</v>
      </c>
    </row>
    <row r="47" spans="1:5">
      <c r="A47" s="1" t="s">
        <v>117</v>
      </c>
      <c r="B47" s="1" t="s">
        <v>14</v>
      </c>
      <c r="C47" s="1" t="s">
        <v>118</v>
      </c>
      <c r="D47" s="2" t="s">
        <v>119</v>
      </c>
      <c r="E47" s="1" t="s">
        <v>9</v>
      </c>
    </row>
    <row r="48" spans="1:4">
      <c r="A48" s="1" t="s">
        <v>120</v>
      </c>
      <c r="B48" s="1" t="s">
        <v>14</v>
      </c>
      <c r="C48" s="1" t="s">
        <v>121</v>
      </c>
      <c r="D48" s="2">
        <v>810001</v>
      </c>
    </row>
    <row r="49" spans="1:4">
      <c r="A49" s="1" t="s">
        <v>122</v>
      </c>
      <c r="B49" s="1" t="s">
        <v>14</v>
      </c>
      <c r="C49" s="1" t="s">
        <v>123</v>
      </c>
      <c r="D49" s="2">
        <v>820002</v>
      </c>
    </row>
    <row r="50" spans="1:4">
      <c r="A50" s="1" t="s">
        <v>124</v>
      </c>
      <c r="B50" s="1" t="s">
        <v>14</v>
      </c>
      <c r="C50" s="1" t="s">
        <v>125</v>
      </c>
      <c r="D50" s="2">
        <v>810003</v>
      </c>
    </row>
    <row r="51" spans="1:4">
      <c r="A51" s="1" t="s">
        <v>126</v>
      </c>
      <c r="B51" s="1" t="s">
        <v>14</v>
      </c>
      <c r="C51" s="1" t="s">
        <v>127</v>
      </c>
      <c r="D51" s="2">
        <v>810036</v>
      </c>
    </row>
    <row r="52" spans="1:4">
      <c r="A52" s="1" t="s">
        <v>128</v>
      </c>
      <c r="B52" s="1" t="s">
        <v>14</v>
      </c>
      <c r="C52" s="1" t="s">
        <v>129</v>
      </c>
      <c r="D52" s="2">
        <v>810037</v>
      </c>
    </row>
    <row r="53" spans="1:4">
      <c r="A53" s="1" t="s">
        <v>130</v>
      </c>
      <c r="B53" s="1" t="s">
        <v>14</v>
      </c>
      <c r="C53" s="1" t="s">
        <v>131</v>
      </c>
      <c r="D53" s="2">
        <v>810038</v>
      </c>
    </row>
    <row r="54" spans="1:4">
      <c r="A54" s="1" t="s">
        <v>132</v>
      </c>
      <c r="B54" s="1" t="s">
        <v>14</v>
      </c>
      <c r="C54" s="1" t="s">
        <v>133</v>
      </c>
      <c r="D54" s="2">
        <v>810039</v>
      </c>
    </row>
    <row r="55" spans="1:5">
      <c r="A55" s="1" t="s">
        <v>134</v>
      </c>
      <c r="B55" s="1" t="s">
        <v>14</v>
      </c>
      <c r="C55" s="1" t="s">
        <v>135</v>
      </c>
      <c r="D55" s="2" t="s">
        <v>136</v>
      </c>
      <c r="E55" s="1" t="s">
        <v>9</v>
      </c>
    </row>
    <row r="56" spans="1:4">
      <c r="A56" s="1" t="s">
        <v>137</v>
      </c>
      <c r="B56" s="1" t="s">
        <v>14</v>
      </c>
      <c r="C56" s="1" t="s">
        <v>138</v>
      </c>
      <c r="D56" s="2">
        <v>-50</v>
      </c>
    </row>
    <row r="57" spans="1:4">
      <c r="A57" s="1" t="s">
        <v>139</v>
      </c>
      <c r="B57" s="1" t="s">
        <v>14</v>
      </c>
      <c r="C57" s="1" t="s">
        <v>140</v>
      </c>
      <c r="D57" s="2">
        <v>1500</v>
      </c>
    </row>
    <row r="58" spans="1:4">
      <c r="A58" s="1" t="s">
        <v>141</v>
      </c>
      <c r="B58" s="1" t="s">
        <v>14</v>
      </c>
      <c r="C58" s="1" t="s">
        <v>142</v>
      </c>
      <c r="D58" s="2">
        <v>30</v>
      </c>
    </row>
    <row r="59" spans="1:4">
      <c r="A59" s="1" t="s">
        <v>143</v>
      </c>
      <c r="B59" s="1" t="s">
        <v>14</v>
      </c>
      <c r="C59" s="1" t="s">
        <v>144</v>
      </c>
      <c r="D59" s="2">
        <v>30</v>
      </c>
    </row>
    <row r="60" spans="1:4">
      <c r="A60" s="1" t="s">
        <v>145</v>
      </c>
      <c r="B60" s="1" t="s">
        <v>14</v>
      </c>
      <c r="C60" s="1" t="s">
        <v>146</v>
      </c>
      <c r="D60" s="2">
        <v>10</v>
      </c>
    </row>
    <row r="61" spans="1:4">
      <c r="A61" s="1" t="s">
        <v>147</v>
      </c>
      <c r="B61" s="1" t="s">
        <v>14</v>
      </c>
      <c r="C61" s="1" t="s">
        <v>148</v>
      </c>
      <c r="D61" s="2">
        <v>30</v>
      </c>
    </row>
    <row r="62" spans="1:4">
      <c r="A62" s="1" t="s">
        <v>149</v>
      </c>
      <c r="B62" s="1" t="s">
        <v>14</v>
      </c>
      <c r="C62" s="1" t="s">
        <v>150</v>
      </c>
      <c r="D62" s="2">
        <v>30</v>
      </c>
    </row>
    <row r="63" spans="1:4">
      <c r="A63" s="1" t="s">
        <v>151</v>
      </c>
      <c r="B63" s="1" t="s">
        <v>14</v>
      </c>
      <c r="C63" s="1" t="s">
        <v>152</v>
      </c>
      <c r="D63" s="2">
        <v>10</v>
      </c>
    </row>
    <row r="64" spans="1:4">
      <c r="A64" s="1" t="s">
        <v>153</v>
      </c>
      <c r="B64" s="1" t="s">
        <v>14</v>
      </c>
      <c r="C64" s="1" t="s">
        <v>154</v>
      </c>
      <c r="D64" s="2">
        <v>10016</v>
      </c>
    </row>
    <row r="65" spans="1:5">
      <c r="A65" s="1" t="s">
        <v>155</v>
      </c>
      <c r="B65" s="1" t="s">
        <v>14</v>
      </c>
      <c r="C65" s="1" t="s">
        <v>156</v>
      </c>
      <c r="D65" s="2" t="s">
        <v>157</v>
      </c>
      <c r="E65" s="1" t="s">
        <v>9</v>
      </c>
    </row>
    <row r="66" spans="1:5">
      <c r="A66" s="1" t="s">
        <v>158</v>
      </c>
      <c r="B66" s="1" t="s">
        <v>14</v>
      </c>
      <c r="C66" s="1" t="s">
        <v>159</v>
      </c>
      <c r="D66" s="2" t="s">
        <v>160</v>
      </c>
      <c r="E66" s="1" t="s">
        <v>9</v>
      </c>
    </row>
    <row r="67" spans="1:5">
      <c r="A67" s="5" t="s">
        <v>161</v>
      </c>
      <c r="B67" s="5" t="s">
        <v>6</v>
      </c>
      <c r="C67" s="5" t="s">
        <v>162</v>
      </c>
      <c r="D67" s="6" t="s">
        <v>163</v>
      </c>
      <c r="E67" s="5" t="s">
        <v>9</v>
      </c>
    </row>
    <row r="68" spans="1:5">
      <c r="A68" s="1" t="s">
        <v>164</v>
      </c>
      <c r="B68" s="5" t="s">
        <v>6</v>
      </c>
      <c r="C68" s="1" t="s">
        <v>165</v>
      </c>
      <c r="D68" s="6" t="s">
        <v>166</v>
      </c>
      <c r="E68" s="5" t="s">
        <v>9</v>
      </c>
    </row>
    <row r="69" spans="1:4">
      <c r="A69" s="1" t="s">
        <v>167</v>
      </c>
      <c r="B69" s="1" t="s">
        <v>14</v>
      </c>
      <c r="C69" s="1" t="s">
        <v>168</v>
      </c>
      <c r="D69" s="2">
        <v>10</v>
      </c>
    </row>
    <row r="70" spans="1:4">
      <c r="A70" s="1" t="s">
        <v>169</v>
      </c>
      <c r="B70" s="1" t="s">
        <v>14</v>
      </c>
      <c r="C70" s="1" t="s">
        <v>170</v>
      </c>
      <c r="D70" s="2">
        <v>5</v>
      </c>
    </row>
    <row r="71" spans="1:4">
      <c r="A71" s="1" t="s">
        <v>171</v>
      </c>
      <c r="B71" s="1" t="s">
        <v>14</v>
      </c>
      <c r="C71" s="1" t="s">
        <v>172</v>
      </c>
      <c r="D71" s="2">
        <v>4</v>
      </c>
    </row>
    <row r="72" spans="1:4">
      <c r="A72" s="1" t="s">
        <v>173</v>
      </c>
      <c r="B72" s="1" t="s">
        <v>14</v>
      </c>
      <c r="C72" s="1" t="s">
        <v>174</v>
      </c>
      <c r="D72" s="2">
        <v>50</v>
      </c>
    </row>
    <row r="73" spans="1:4">
      <c r="A73" s="1" t="s">
        <v>175</v>
      </c>
      <c r="B73" s="1" t="s">
        <v>14</v>
      </c>
      <c r="C73" s="1" t="s">
        <v>176</v>
      </c>
      <c r="D73" s="2">
        <v>20</v>
      </c>
    </row>
    <row r="74" spans="1:4">
      <c r="A74" s="1" t="s">
        <v>177</v>
      </c>
      <c r="B74" s="1" t="s">
        <v>14</v>
      </c>
      <c r="C74" s="1" t="s">
        <v>178</v>
      </c>
      <c r="D74" s="2">
        <v>40</v>
      </c>
    </row>
    <row r="75" spans="1:4">
      <c r="A75" s="1" t="s">
        <v>179</v>
      </c>
      <c r="B75" s="1" t="s">
        <v>14</v>
      </c>
      <c r="C75" s="1" t="s">
        <v>180</v>
      </c>
      <c r="D75" s="2">
        <v>6</v>
      </c>
    </row>
    <row r="76" spans="1:4">
      <c r="A76" s="1" t="s">
        <v>181</v>
      </c>
      <c r="B76" s="1" t="s">
        <v>182</v>
      </c>
      <c r="C76" s="1" t="s">
        <v>183</v>
      </c>
      <c r="D76" s="2" t="s">
        <v>184</v>
      </c>
    </row>
    <row r="77" spans="1:4">
      <c r="A77" s="1" t="s">
        <v>185</v>
      </c>
      <c r="B77" s="1" t="s">
        <v>182</v>
      </c>
      <c r="C77" s="1" t="s">
        <v>186</v>
      </c>
      <c r="D77" s="2" t="s">
        <v>187</v>
      </c>
    </row>
    <row r="78" spans="1:4">
      <c r="A78" s="1" t="s">
        <v>188</v>
      </c>
      <c r="B78" s="1" t="s">
        <v>14</v>
      </c>
      <c r="C78" s="1" t="s">
        <v>189</v>
      </c>
      <c r="D78" s="2">
        <v>6</v>
      </c>
    </row>
    <row r="79" spans="1:4">
      <c r="A79" s="1" t="s">
        <v>190</v>
      </c>
      <c r="B79" s="1" t="s">
        <v>14</v>
      </c>
      <c r="C79" s="1" t="s">
        <v>191</v>
      </c>
      <c r="D79" s="2">
        <v>3</v>
      </c>
    </row>
    <row r="80" spans="1:4">
      <c r="A80" s="1" t="s">
        <v>192</v>
      </c>
      <c r="B80" s="1" t="s">
        <v>14</v>
      </c>
      <c r="C80" s="1" t="s">
        <v>193</v>
      </c>
      <c r="D80" s="2">
        <v>5</v>
      </c>
    </row>
    <row r="81" spans="1:5">
      <c r="A81" s="1" t="s">
        <v>194</v>
      </c>
      <c r="B81" s="1" t="s">
        <v>14</v>
      </c>
      <c r="C81" s="1" t="s">
        <v>195</v>
      </c>
      <c r="D81" s="2" t="s">
        <v>196</v>
      </c>
      <c r="E81" s="1" t="s">
        <v>9</v>
      </c>
    </row>
    <row r="82" spans="1:5">
      <c r="A82" s="1" t="s">
        <v>197</v>
      </c>
      <c r="B82" s="1" t="s">
        <v>14</v>
      </c>
      <c r="C82" s="1" t="s">
        <v>198</v>
      </c>
      <c r="D82" s="2" t="s">
        <v>199</v>
      </c>
      <c r="E82" s="1" t="s">
        <v>9</v>
      </c>
    </row>
    <row r="83" spans="1:4">
      <c r="A83" s="1" t="s">
        <v>200</v>
      </c>
      <c r="B83" s="1" t="s">
        <v>14</v>
      </c>
      <c r="C83" s="1" t="s">
        <v>201</v>
      </c>
      <c r="D83" s="2">
        <v>660140</v>
      </c>
    </row>
    <row r="84" spans="1:5">
      <c r="A84" s="1" t="s">
        <v>202</v>
      </c>
      <c r="B84" s="1" t="s">
        <v>14</v>
      </c>
      <c r="C84" s="1" t="s">
        <v>203</v>
      </c>
      <c r="D84" s="2" t="s">
        <v>204</v>
      </c>
      <c r="E84" s="1" t="s">
        <v>9</v>
      </c>
    </row>
    <row r="85" spans="1:4">
      <c r="A85" s="1" t="s">
        <v>205</v>
      </c>
      <c r="B85" s="1" t="s">
        <v>206</v>
      </c>
      <c r="C85" s="1" t="s">
        <v>207</v>
      </c>
      <c r="D85" s="2" t="s">
        <v>208</v>
      </c>
    </row>
    <row r="86" spans="1:4">
      <c r="A86" s="1" t="s">
        <v>209</v>
      </c>
      <c r="B86" s="1" t="s">
        <v>206</v>
      </c>
      <c r="C86" s="1" t="s">
        <v>210</v>
      </c>
      <c r="D86" s="2" t="s">
        <v>208</v>
      </c>
    </row>
    <row r="87" spans="1:4">
      <c r="A87" s="1" t="s">
        <v>211</v>
      </c>
      <c r="B87" s="1" t="s">
        <v>14</v>
      </c>
      <c r="C87" s="1" t="s">
        <v>212</v>
      </c>
      <c r="D87" s="2">
        <v>200001</v>
      </c>
    </row>
    <row r="88" spans="1:5">
      <c r="A88" s="1" t="s">
        <v>213</v>
      </c>
      <c r="B88" s="1" t="s">
        <v>14</v>
      </c>
      <c r="C88" s="1" t="s">
        <v>214</v>
      </c>
      <c r="D88" s="6" t="s">
        <v>215</v>
      </c>
      <c r="E88" s="1" t="s">
        <v>9</v>
      </c>
    </row>
    <row r="89" spans="1:5">
      <c r="A89" s="1" t="s">
        <v>216</v>
      </c>
      <c r="B89" s="5" t="s">
        <v>6</v>
      </c>
      <c r="C89" s="1" t="s">
        <v>217</v>
      </c>
      <c r="D89" s="6" t="s">
        <v>218</v>
      </c>
      <c r="E89" s="1" t="s">
        <v>9</v>
      </c>
    </row>
    <row r="90" spans="1:5">
      <c r="A90" s="1" t="s">
        <v>219</v>
      </c>
      <c r="B90" s="5" t="s">
        <v>6</v>
      </c>
      <c r="C90" s="1" t="s">
        <v>220</v>
      </c>
      <c r="D90" s="6" t="s">
        <v>221</v>
      </c>
      <c r="E90" s="1" t="s">
        <v>9</v>
      </c>
    </row>
    <row r="91" spans="1:4">
      <c r="A91" s="1" t="s">
        <v>222</v>
      </c>
      <c r="B91" s="1" t="s">
        <v>182</v>
      </c>
      <c r="C91" s="1" t="s">
        <v>223</v>
      </c>
      <c r="D91" s="2" t="s">
        <v>224</v>
      </c>
    </row>
    <row r="92" spans="1:4">
      <c r="A92" s="1" t="s">
        <v>225</v>
      </c>
      <c r="B92" s="1" t="s">
        <v>182</v>
      </c>
      <c r="C92" s="1" t="s">
        <v>226</v>
      </c>
      <c r="D92" s="2" t="s">
        <v>227</v>
      </c>
    </row>
    <row r="93" spans="1:5">
      <c r="A93" s="1" t="s">
        <v>228</v>
      </c>
      <c r="B93" s="1" t="s">
        <v>14</v>
      </c>
      <c r="C93" s="1" t="s">
        <v>229</v>
      </c>
      <c r="D93" s="2" t="s">
        <v>230</v>
      </c>
      <c r="E93" s="1" t="s">
        <v>9</v>
      </c>
    </row>
    <row r="94" spans="1:5">
      <c r="A94" s="1" t="s">
        <v>231</v>
      </c>
      <c r="B94" s="1" t="s">
        <v>14</v>
      </c>
      <c r="C94" s="1" t="s">
        <v>232</v>
      </c>
      <c r="D94" s="2" t="s">
        <v>233</v>
      </c>
      <c r="E94" s="1" t="s">
        <v>9</v>
      </c>
    </row>
    <row r="95" spans="1:5">
      <c r="A95" s="1" t="s">
        <v>234</v>
      </c>
      <c r="B95" s="1" t="s">
        <v>14</v>
      </c>
      <c r="C95" s="1" t="s">
        <v>235</v>
      </c>
      <c r="D95" s="2" t="s">
        <v>236</v>
      </c>
      <c r="E95" s="1" t="s">
        <v>9</v>
      </c>
    </row>
    <row r="96" spans="1:4">
      <c r="A96" s="1" t="s">
        <v>237</v>
      </c>
      <c r="B96" s="1" t="s">
        <v>14</v>
      </c>
      <c r="C96" s="1" t="s">
        <v>238</v>
      </c>
      <c r="D96" s="2">
        <v>30</v>
      </c>
    </row>
    <row r="97" spans="1:5">
      <c r="A97" s="1" t="s">
        <v>239</v>
      </c>
      <c r="B97" s="1" t="s">
        <v>14</v>
      </c>
      <c r="C97" s="1" t="s">
        <v>240</v>
      </c>
      <c r="D97" s="2" t="s">
        <v>241</v>
      </c>
      <c r="E97" s="1" t="s">
        <v>9</v>
      </c>
    </row>
    <row r="98" spans="1:5">
      <c r="A98" s="1" t="s">
        <v>242</v>
      </c>
      <c r="B98" s="1" t="s">
        <v>14</v>
      </c>
      <c r="C98" s="1" t="s">
        <v>243</v>
      </c>
      <c r="D98" s="7" t="s">
        <v>244</v>
      </c>
      <c r="E98" s="1" t="s">
        <v>9</v>
      </c>
    </row>
    <row r="99" spans="1:5">
      <c r="A99" s="1" t="s">
        <v>245</v>
      </c>
      <c r="B99" s="1" t="s">
        <v>14</v>
      </c>
      <c r="C99" s="1" t="s">
        <v>246</v>
      </c>
      <c r="D99" s="2" t="s">
        <v>247</v>
      </c>
      <c r="E99" s="1" t="s">
        <v>9</v>
      </c>
    </row>
    <row r="100" spans="1:5">
      <c r="A100" s="1" t="s">
        <v>248</v>
      </c>
      <c r="B100" s="1" t="s">
        <v>14</v>
      </c>
      <c r="C100" s="1" t="s">
        <v>249</v>
      </c>
      <c r="D100" s="2" t="s">
        <v>250</v>
      </c>
      <c r="E100" s="1" t="s">
        <v>9</v>
      </c>
    </row>
    <row r="101" spans="1:5">
      <c r="A101" s="1" t="s">
        <v>251</v>
      </c>
      <c r="B101" s="1" t="s">
        <v>14</v>
      </c>
      <c r="C101" s="1" t="s">
        <v>252</v>
      </c>
      <c r="D101" s="2" t="s">
        <v>253</v>
      </c>
      <c r="E101" s="1" t="s">
        <v>9</v>
      </c>
    </row>
    <row r="102" spans="1:4">
      <c r="A102" s="1" t="s">
        <v>254</v>
      </c>
      <c r="B102" s="1" t="s">
        <v>14</v>
      </c>
      <c r="C102" s="1" t="s">
        <v>255</v>
      </c>
      <c r="D102" s="2">
        <v>3</v>
      </c>
    </row>
    <row r="103" spans="1:4">
      <c r="A103" s="1" t="s">
        <v>256</v>
      </c>
      <c r="B103" s="1" t="s">
        <v>14</v>
      </c>
      <c r="C103" s="1" t="s">
        <v>257</v>
      </c>
      <c r="D103" s="2">
        <v>5</v>
      </c>
    </row>
    <row r="104" spans="1:5">
      <c r="A104" s="1" t="s">
        <v>258</v>
      </c>
      <c r="B104" s="1" t="s">
        <v>14</v>
      </c>
      <c r="C104" s="1" t="s">
        <v>259</v>
      </c>
      <c r="D104" s="2" t="s">
        <v>260</v>
      </c>
      <c r="E104" s="1" t="s">
        <v>9</v>
      </c>
    </row>
    <row r="105" spans="1:5">
      <c r="A105" s="1" t="s">
        <v>261</v>
      </c>
      <c r="B105" s="1" t="s">
        <v>14</v>
      </c>
      <c r="C105" s="1" t="s">
        <v>262</v>
      </c>
      <c r="D105" s="2" t="s">
        <v>263</v>
      </c>
      <c r="E105" s="1" t="s">
        <v>9</v>
      </c>
    </row>
    <row r="106" spans="1:4">
      <c r="A106" s="1" t="s">
        <v>264</v>
      </c>
      <c r="B106" s="1" t="s">
        <v>14</v>
      </c>
      <c r="C106" s="1" t="s">
        <v>265</v>
      </c>
      <c r="D106" s="2">
        <v>7</v>
      </c>
    </row>
    <row r="107" spans="1:4">
      <c r="A107" s="1" t="s">
        <v>266</v>
      </c>
      <c r="B107" s="1" t="s">
        <v>14</v>
      </c>
      <c r="C107" s="1" t="s">
        <v>267</v>
      </c>
      <c r="D107" s="2">
        <v>1</v>
      </c>
    </row>
    <row r="108" customFormat="1" spans="1:5">
      <c r="A108" s="1" t="s">
        <v>268</v>
      </c>
      <c r="B108" s="1" t="s">
        <v>14</v>
      </c>
      <c r="C108" s="1" t="s">
        <v>269</v>
      </c>
      <c r="D108" s="2">
        <v>13</v>
      </c>
      <c r="E108" s="1"/>
    </row>
    <row r="109" spans="1:4">
      <c r="A109" s="1" t="s">
        <v>270</v>
      </c>
      <c r="B109" s="1" t="s">
        <v>14</v>
      </c>
      <c r="C109" s="1" t="s">
        <v>271</v>
      </c>
      <c r="D109" s="2">
        <v>16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0:K12"/>
  <sheetViews>
    <sheetView workbookViewId="0">
      <selection activeCell="M16" sqref="M16"/>
    </sheetView>
  </sheetViews>
  <sheetFormatPr defaultColWidth="9" defaultRowHeight="13.5"/>
  <sheetData>
    <row r="10" spans="10:11">
      <c r="J10">
        <v>240</v>
      </c>
      <c r="K10">
        <v>120</v>
      </c>
    </row>
    <row r="11" spans="7:11">
      <c r="G11">
        <v>30</v>
      </c>
      <c r="J11">
        <f>J10-K10</f>
        <v>120</v>
      </c>
      <c r="K11">
        <v>5</v>
      </c>
    </row>
    <row r="12" spans="7:10">
      <c r="G12">
        <f>G11-J12</f>
        <v>6</v>
      </c>
      <c r="J12">
        <f>J11/K11</f>
        <v>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xubo</dc:creator>
  <cp:lastModifiedBy>斐君子</cp:lastModifiedBy>
  <dcterms:created xsi:type="dcterms:W3CDTF">2018-04-25T03:47:00Z</dcterms:created>
  <dcterms:modified xsi:type="dcterms:W3CDTF">2025-05-13T08:48:11Z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AA0652F5F4624FCDA1727F0F7B9DAB8D_12</vt:lpwstr>
  </property>
</Properties>
</file>